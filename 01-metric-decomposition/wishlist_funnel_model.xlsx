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Funnel" sheetId="2" state="visible" r:id="rId4"/>
    <sheet name="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<sst xmlns="http://schemas.openxmlformats.org/spreadsheetml/2006/main" count="98" uniqueCount="86">
  <si>
    <t xml:space="preserve">Wishlist to Purchase funnel model: assumptions</t>
  </si>
  <si>
    <t xml:space="preserve">Legend: blue text = input you can change; yellow fill = key assumption; black = formula; green = link to another sheet.</t>
  </si>
  <si>
    <t xml:space="preserve">All numbers are ILLUSTRATIVE placeholders supplied by the analyst, not Myntra data. Replace with real values if you obtain them.</t>
  </si>
  <si>
    <t xml:space="preserve">Scale</t>
  </si>
  <si>
    <t xml:space="preserve">Monthly users who add at least one item to wishlist</t>
  </si>
  <si>
    <t xml:space="preserve">Illustrative order of magnitude for a large Indian fashion app.</t>
  </si>
  <si>
    <t xml:space="preserve">Wishlist items added per wishlisting user per month</t>
  </si>
  <si>
    <t xml:space="preserve">Illustrative. Interview placeholders suggest 4 to 10 for active users.</t>
  </si>
  <si>
    <t xml:space="preserve">Average price of a wishlisted item (Rs)</t>
  </si>
  <si>
    <t xml:space="preserve">Illustrative mid-band apparel price.</t>
  </si>
  <si>
    <t xml:space="preserve">Baseline return rate on apparel orders</t>
  </si>
  <si>
    <t xml:space="preserve">Industry commentary puts Indian apparel returns at 25 to 40%.</t>
  </si>
  <si>
    <t xml:space="preserve">Funnel stages (baseline)</t>
  </si>
  <si>
    <t xml:space="preserve">S1 Intent quality: share of adds that are real purchase intent (not inspiration)</t>
  </si>
  <si>
    <t xml:space="preserve">From engine intent distribution plus interviews. Inspiration-only saves cannot convert in 30 days.</t>
  </si>
  <si>
    <t xml:space="preserve">S2 Revisit: share of wishlisting users who reopen the wishlist within 30 days</t>
  </si>
  <si>
    <t xml:space="preserve">User-level gate. Reminders and triggered resurfacing act here.</t>
  </si>
  <si>
    <t xml:space="preserve">S3 Viability: share of intent items still in stock in user's size at revisit</t>
  </si>
  <si>
    <t xml:space="preserve">Wishlist decay. Low-stock truth and restock alerts act here.</t>
  </si>
  <si>
    <t xml:space="preserve">S4 Resolution: share of viable intent items whose blocking uncertainty gets resolved</t>
  </si>
  <si>
    <t xml:space="preserve">The MVP's primary lever: fit, look, quality, second opinion.</t>
  </si>
  <si>
    <t xml:space="preserve">S5 Latency: share of resolved decisions made inside the 30-day window</t>
  </si>
  <si>
    <t xml:space="preserve">A decision on day 45 scores zero for the business metric.</t>
  </si>
  <si>
    <t xml:space="preserve">S6 Wishlist item to cart (given resolved in window)</t>
  </si>
  <si>
    <t xml:space="preserve">Illustrative.</t>
  </si>
  <si>
    <t xml:space="preserve">S7 Cart to order</t>
  </si>
  <si>
    <t xml:space="preserve">Illustrative. Payment, delivery date and COD friction act here.</t>
  </si>
  <si>
    <t xml:space="preserve">Business metric: % of wishlisting users who buy at least one wishlisted item within 30 days</t>
  </si>
  <si>
    <t xml:space="preserve">Model: item-level probability p = S1 x S3 x S4 x S5 x S6 x S7. A user converts if she revisits (S2) and at least one of her n items converts: S2 x (1 - (1-p)^n).</t>
  </si>
  <si>
    <t xml:space="preserve">Why this form: the metric counts users, not items. One converted item per user is enough, so n matters and the top item matters most.</t>
  </si>
  <si>
    <t xml:space="preserve">Stage</t>
  </si>
  <si>
    <t xml:space="preserve">Baseline rate</t>
  </si>
  <si>
    <t xml:space="preserve">Definition</t>
  </si>
  <si>
    <t xml:space="preserve">Product outcome that moves it</t>
  </si>
  <si>
    <t xml:space="preserve">Lever available without money</t>
  </si>
  <si>
    <t xml:space="preserve">S1 Intent quality</t>
  </si>
  <si>
    <t xml:space="preserve">Share of wishlist adds with real purchase intent</t>
  </si>
  <si>
    <t xml:space="preserve">Users tell us why they saved</t>
  </si>
  <si>
    <t xml:space="preserve">One-tap intent tag at save; separate inspiration from shortlist</t>
  </si>
  <si>
    <t xml:space="preserve">S2 Revisit within 30 days</t>
  </si>
  <si>
    <t xml:space="preserve">Wishlisting users reopening wishlist within 30 days</t>
  </si>
  <si>
    <t xml:space="preserve">Users return when something changed for their item</t>
  </si>
  <si>
    <t xml:space="preserve">Event-triggered resurfacing: size low, restocked, decide-by date</t>
  </si>
  <si>
    <t xml:space="preserve">S3 Viability at revisit</t>
  </si>
  <si>
    <t xml:space="preserve">Intent items still purchasable in user's size</t>
  </si>
  <si>
    <t xml:space="preserve">Fewer items decay before decision</t>
  </si>
  <si>
    <t xml:space="preserve">Low-stock truth, restock alert, size-swap suggestion</t>
  </si>
  <si>
    <t xml:space="preserve">S4 Uncertainty resolved</t>
  </si>
  <si>
    <t xml:space="preserve">Viable items where the blocking question gets answered</t>
  </si>
  <si>
    <t xml:space="preserve">User gets a fit, look, quality or second-opinion verdict</t>
  </si>
  <si>
    <t xml:space="preserve">Fit verdict from own history plus reviews; styling proof; share-to-friend card</t>
  </si>
  <si>
    <t xml:space="preserve">S5 Decision inside window</t>
  </si>
  <si>
    <t xml:space="preserve">Resolved decisions made within 30 days of saving</t>
  </si>
  <si>
    <t xml:space="preserve">Decision moment is prompted, not left to drift</t>
  </si>
  <si>
    <t xml:space="preserve">Decide-by nudge tied to stated occasion; triage view</t>
  </si>
  <si>
    <t xml:space="preserve">S6 Wishlist to cart</t>
  </si>
  <si>
    <t xml:space="preserve">Resolved items moved to cart</t>
  </si>
  <si>
    <t xml:space="preserve">Buy is one tap from the resolve panel</t>
  </si>
  <si>
    <t xml:space="preserve">Size pre-selected from verdict; add to bag from wishlist</t>
  </si>
  <si>
    <t xml:space="preserve">Carts that become orders</t>
  </si>
  <si>
    <t xml:space="preserve">Checkout friction removed</t>
  </si>
  <si>
    <t xml:space="preserve">Out of scope for this MVP</t>
  </si>
  <si>
    <t xml:space="preserve">Item-level conversion probability p (S1 x S3 x S4 x S5 x S6 x S7)</t>
  </si>
  <si>
    <t xml:space="preserve">Items per user n</t>
  </si>
  <si>
    <t xml:space="preserve">P(at least one item converts | revisited) = 1 - (1-p)^n</t>
  </si>
  <si>
    <t xml:space="preserve">BUSINESS METRIC: % of wishlisting users buying &gt;= 1 wishlisted item in 30 days = S2 x above</t>
  </si>
  <si>
    <t xml:space="preserve">Users converting per month</t>
  </si>
  <si>
    <t xml:space="preserve">Wishlist-origin orders per month (assume one order per converting user)</t>
  </si>
  <si>
    <t xml:space="preserve">Wishlist-origin GMV per month (Rs)</t>
  </si>
  <si>
    <t xml:space="preserve">Net of returns (Rs)</t>
  </si>
  <si>
    <t xml:space="preserve">Which stage is worth moving? Sensitivity of the business metric to each lever</t>
  </si>
  <si>
    <t xml:space="preserve">Each row moves one stage by the uplift in column C (blue, editable), holds the rest at baseline, and recomputes the metric.</t>
  </si>
  <si>
    <t xml:space="preserve">Stage moved</t>
  </si>
  <si>
    <t xml:space="preserve">Baseline</t>
  </si>
  <si>
    <t xml:space="preserve">Uplift (pp)</t>
  </si>
  <si>
    <t xml:space="preserve">New rate</t>
  </si>
  <si>
    <t xml:space="preserve">Metric after</t>
  </si>
  <si>
    <t xml:space="preserve">Metric delta (pp)</t>
  </si>
  <si>
    <t xml:space="preserve">Extra converting users / month</t>
  </si>
  <si>
    <t xml:space="preserve">Extra net GMV / month (Rs)</t>
  </si>
  <si>
    <t xml:space="preserve">Metric delta per 1pp of lever</t>
  </si>
  <si>
    <t xml:space="preserve">Reading: column I is the fair comparison. It shows how much the metric moves per one point of the lever, independent of the uplift you assumed.</t>
  </si>
  <si>
    <t xml:space="preserve">Uplifts in column C are the analyst's judgment of what a well-built product could move in one quarter. They are not forecasts.</t>
  </si>
  <si>
    <t xml:space="preserve">Combined MVP scenario: S4 and S5 moved together (the MVP's two levers)</t>
  </si>
  <si>
    <t xml:space="preserve">S4 new rate</t>
  </si>
  <si>
    <t xml:space="preserve">S5 new rate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</si>
</sst>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"/>
    <numFmt numFmtId="167" formatCode="&quot;Rs &quot;#,##0"/>
    <numFmt numFmtId="168" formatCode="0.0%"/>
    <numFmt numFmtId="169" formatCode="0.00%"/>
    <numFmt numFmtId="170" formatCode="0.0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B7791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555555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6"/>
    <col collapsed="false" customWidth="true" hidden="false" outlineLevel="0" max="3" min="3" style="0" width="7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v>10000000</v>
      </c>
      <c r="C6" s="7" t="s">
        <v>5</v>
      </c>
    </row>
    <row r="7" customFormat="false" ht="15" hidden="false" customHeight="false" outlineLevel="0" collapsed="false">
      <c r="A7" s="5" t="s">
        <v>6</v>
      </c>
      <c r="B7" s="8" t="n">
        <v>6</v>
      </c>
      <c r="C7" s="7" t="s">
        <v>7</v>
      </c>
    </row>
    <row r="8" customFormat="false" ht="15" hidden="false" customHeight="false" outlineLevel="0" collapsed="false">
      <c r="A8" s="5" t="s">
        <v>8</v>
      </c>
      <c r="B8" s="9" t="n">
        <v>1400</v>
      </c>
      <c r="C8" s="7" t="s">
        <v>9</v>
      </c>
    </row>
    <row r="9" customFormat="false" ht="15" hidden="false" customHeight="false" outlineLevel="0" collapsed="false">
      <c r="A9" s="5" t="s">
        <v>10</v>
      </c>
      <c r="B9" s="10" t="n">
        <v>0.3</v>
      </c>
      <c r="C9" s="7" t="s">
        <v>11</v>
      </c>
    </row>
    <row r="10" customFormat="false" ht="15" hidden="false" customHeight="false" outlineLevel="0" collapsed="false">
      <c r="A10" s="4" t="s">
        <v>12</v>
      </c>
    </row>
    <row r="11" customFormat="false" ht="15" hidden="false" customHeight="false" outlineLevel="0" collapsed="false">
      <c r="A11" s="5" t="s">
        <v>13</v>
      </c>
      <c r="B11" s="11" t="n">
        <v>0.55</v>
      </c>
      <c r="C11" s="7" t="s">
        <v>14</v>
      </c>
    </row>
    <row r="12" customFormat="false" ht="15" hidden="false" customHeight="false" outlineLevel="0" collapsed="false">
      <c r="A12" s="5" t="s">
        <v>15</v>
      </c>
      <c r="B12" s="10" t="n">
        <v>0.6</v>
      </c>
      <c r="C12" s="7" t="s">
        <v>16</v>
      </c>
    </row>
    <row r="13" customFormat="false" ht="15" hidden="false" customHeight="false" outlineLevel="0" collapsed="false">
      <c r="A13" s="5" t="s">
        <v>17</v>
      </c>
      <c r="B13" s="11" t="n">
        <v>0.8</v>
      </c>
      <c r="C13" s="7" t="s">
        <v>18</v>
      </c>
    </row>
    <row r="14" customFormat="false" ht="15" hidden="false" customHeight="false" outlineLevel="0" collapsed="false">
      <c r="A14" s="5" t="s">
        <v>19</v>
      </c>
      <c r="B14" s="11" t="n">
        <v>0.45</v>
      </c>
      <c r="C14" s="7" t="s">
        <v>20</v>
      </c>
    </row>
    <row r="15" customFormat="false" ht="15" hidden="false" customHeight="false" outlineLevel="0" collapsed="false">
      <c r="A15" s="5" t="s">
        <v>21</v>
      </c>
      <c r="B15" s="11" t="n">
        <v>0.75</v>
      </c>
      <c r="C15" s="7" t="s">
        <v>22</v>
      </c>
    </row>
    <row r="16" customFormat="false" ht="15" hidden="false" customHeight="false" outlineLevel="0" collapsed="false">
      <c r="A16" s="5" t="s">
        <v>23</v>
      </c>
      <c r="B16" s="10" t="n">
        <v>0.6</v>
      </c>
      <c r="C16" s="7" t="s">
        <v>24</v>
      </c>
    </row>
    <row r="17" customFormat="false" ht="15" hidden="false" customHeight="false" outlineLevel="0" collapsed="false">
      <c r="A17" s="5" t="s">
        <v>25</v>
      </c>
      <c r="B17" s="10" t="n">
        <v>0.65</v>
      </c>
      <c r="C17" s="7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6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3" customFormat="false" ht="15" hidden="false" customHeight="false" outlineLevel="0" collapsed="false">
      <c r="A3" s="2" t="s">
        <v>29</v>
      </c>
    </row>
    <row r="5" customFormat="false" ht="15" hidden="false" customHeight="false" outlineLevel="0" collapsed="false">
      <c r="A5" s="12" t="s">
        <v>30</v>
      </c>
      <c r="B5" s="12" t="s">
        <v>31</v>
      </c>
      <c r="C5" s="12" t="s">
        <v>32</v>
      </c>
      <c r="D5" s="12" t="s">
        <v>33</v>
      </c>
      <c r="E5" s="12" t="s">
        <v>34</v>
      </c>
    </row>
    <row r="6" customFormat="false" ht="15" hidden="false" customHeight="false" outlineLevel="0" collapsed="false">
      <c r="A6" s="5" t="s">
        <v>35</v>
      </c>
      <c r="B6" s="13" t="n">
        <f aca="false">Assumptions!$B$11</f>
        <v>0.55</v>
      </c>
      <c r="C6" s="14" t="s">
        <v>36</v>
      </c>
      <c r="D6" s="14" t="s">
        <v>37</v>
      </c>
      <c r="E6" s="14" t="s">
        <v>38</v>
      </c>
    </row>
    <row r="7" customFormat="false" ht="15" hidden="false" customHeight="false" outlineLevel="0" collapsed="false">
      <c r="A7" s="5" t="s">
        <v>39</v>
      </c>
      <c r="B7" s="13" t="n">
        <f aca="false">Assumptions!$B$12</f>
        <v>0.6</v>
      </c>
      <c r="C7" s="14" t="s">
        <v>40</v>
      </c>
      <c r="D7" s="14" t="s">
        <v>41</v>
      </c>
      <c r="E7" s="14" t="s">
        <v>42</v>
      </c>
    </row>
    <row r="8" customFormat="false" ht="15" hidden="false" customHeight="false" outlineLevel="0" collapsed="false">
      <c r="A8" s="5" t="s">
        <v>43</v>
      </c>
      <c r="B8" s="13" t="n">
        <f aca="false">Assumptions!$B$13</f>
        <v>0.8</v>
      </c>
      <c r="C8" s="14" t="s">
        <v>44</v>
      </c>
      <c r="D8" s="14" t="s">
        <v>45</v>
      </c>
      <c r="E8" s="14" t="s">
        <v>46</v>
      </c>
    </row>
    <row r="9" customFormat="false" ht="15" hidden="false" customHeight="false" outlineLevel="0" collapsed="false">
      <c r="A9" s="5" t="s">
        <v>47</v>
      </c>
      <c r="B9" s="13" t="n">
        <f aca="false">Assumptions!$B$14</f>
        <v>0.45</v>
      </c>
      <c r="C9" s="14" t="s">
        <v>48</v>
      </c>
      <c r="D9" s="14" t="s">
        <v>49</v>
      </c>
      <c r="E9" s="14" t="s">
        <v>50</v>
      </c>
    </row>
    <row r="10" customFormat="false" ht="15" hidden="false" customHeight="false" outlineLevel="0" collapsed="false">
      <c r="A10" s="5" t="s">
        <v>51</v>
      </c>
      <c r="B10" s="13" t="n">
        <f aca="false">Assumptions!$B$15</f>
        <v>0.75</v>
      </c>
      <c r="C10" s="14" t="s">
        <v>52</v>
      </c>
      <c r="D10" s="14" t="s">
        <v>53</v>
      </c>
      <c r="E10" s="14" t="s">
        <v>54</v>
      </c>
    </row>
    <row r="11" customFormat="false" ht="15" hidden="false" customHeight="false" outlineLevel="0" collapsed="false">
      <c r="A11" s="5" t="s">
        <v>55</v>
      </c>
      <c r="B11" s="13" t="n">
        <f aca="false">Assumptions!$B$16</f>
        <v>0.6</v>
      </c>
      <c r="C11" s="14" t="s">
        <v>56</v>
      </c>
      <c r="D11" s="14" t="s">
        <v>57</v>
      </c>
      <c r="E11" s="14" t="s">
        <v>58</v>
      </c>
    </row>
    <row r="12" customFormat="false" ht="15" hidden="false" customHeight="false" outlineLevel="0" collapsed="false">
      <c r="A12" s="5" t="s">
        <v>25</v>
      </c>
      <c r="B12" s="13" t="n">
        <f aca="false">Assumptions!$B$17</f>
        <v>0.65</v>
      </c>
      <c r="C12" s="14" t="s">
        <v>59</v>
      </c>
      <c r="D12" s="14" t="s">
        <v>60</v>
      </c>
      <c r="E12" s="14" t="s">
        <v>61</v>
      </c>
    </row>
    <row r="14" customFormat="false" ht="15" hidden="false" customHeight="false" outlineLevel="0" collapsed="false">
      <c r="A14" s="15" t="s">
        <v>62</v>
      </c>
      <c r="B14" s="16" t="n">
        <f aca="false">B6*B8*B9*B10*B11*B12</f>
        <v>0.057915</v>
      </c>
    </row>
    <row r="15" customFormat="false" ht="15" hidden="false" customHeight="false" outlineLevel="0" collapsed="false">
      <c r="A15" s="5" t="s">
        <v>63</v>
      </c>
      <c r="B15" s="17" t="n">
        <f aca="false">Assumptions!$B$7</f>
        <v>6</v>
      </c>
    </row>
    <row r="16" customFormat="false" ht="15" hidden="false" customHeight="false" outlineLevel="0" collapsed="false">
      <c r="A16" s="5" t="s">
        <v>64</v>
      </c>
      <c r="B16" s="18" t="n">
        <f aca="false">1-(1-B14)^B15</f>
        <v>0.300898017434439</v>
      </c>
    </row>
    <row r="17" customFormat="false" ht="15" hidden="false" customHeight="false" outlineLevel="0" collapsed="false">
      <c r="A17" s="15" t="s">
        <v>65</v>
      </c>
      <c r="B17" s="19" t="n">
        <f aca="false">B7*B16</f>
        <v>0.180538810460663</v>
      </c>
    </row>
    <row r="19" customFormat="false" ht="15" hidden="false" customHeight="false" outlineLevel="0" collapsed="false">
      <c r="A19" s="14" t="s">
        <v>66</v>
      </c>
      <c r="B19" s="20" t="n">
        <f aca="false">Assumptions!$B$6*B17</f>
        <v>1805388.10460663</v>
      </c>
    </row>
    <row r="20" customFormat="false" ht="15" hidden="false" customHeight="false" outlineLevel="0" collapsed="false">
      <c r="A20" s="14" t="s">
        <v>67</v>
      </c>
      <c r="B20" s="20" t="n">
        <f aca="false">B19</f>
        <v>1805388.10460663</v>
      </c>
    </row>
    <row r="21" customFormat="false" ht="15" hidden="false" customHeight="false" outlineLevel="0" collapsed="false">
      <c r="A21" s="14" t="s">
        <v>68</v>
      </c>
      <c r="B21" s="21" t="n">
        <f aca="false">B20*Assumptions!$B$8</f>
        <v>2527543346.44929</v>
      </c>
    </row>
    <row r="22" customFormat="false" ht="15" hidden="false" customHeight="false" outlineLevel="0" collapsed="false">
      <c r="A22" s="14" t="s">
        <v>69</v>
      </c>
      <c r="B22" s="21" t="n">
        <f aca="false">B21*(1-Assumptions!$B$9)</f>
        <v>1769280342.5145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33.75" hidden="false" customHeight="true" outlineLevel="0" collapsed="false">
      <c r="A4" s="22" t="s">
        <v>72</v>
      </c>
      <c r="B4" s="22" t="s">
        <v>73</v>
      </c>
      <c r="C4" s="22" t="s">
        <v>74</v>
      </c>
      <c r="D4" s="22" t="s">
        <v>75</v>
      </c>
      <c r="E4" s="22" t="s">
        <v>76</v>
      </c>
      <c r="F4" s="22" t="s">
        <v>77</v>
      </c>
      <c r="G4" s="22" t="s">
        <v>78</v>
      </c>
      <c r="H4" s="22" t="s">
        <v>79</v>
      </c>
      <c r="I4" s="22" t="s">
        <v>80</v>
      </c>
    </row>
    <row r="5" customFormat="false" ht="15" hidden="false" customHeight="false" outlineLevel="0" collapsed="false">
      <c r="A5" s="14" t="s">
        <v>35</v>
      </c>
      <c r="B5" s="23" t="n">
        <f aca="false">Assumptions!$B$11</f>
        <v>0.55</v>
      </c>
      <c r="C5" s="10" t="n">
        <v>0.07</v>
      </c>
      <c r="D5" s="18" t="n">
        <f aca="false">MIN(1,B5+C5)</f>
        <v>0.62</v>
      </c>
      <c r="E5" s="18" t="n">
        <f aca="false">Assumptions!$B$12*(1-(1-D5*Assumptions!$B$13*Assumptions!$B$14*Assumptions!$B$15*Assumptions!$B$16*Assumptions!$B$17)^Assumptions!$B$7)</f>
        <v>0.199849157533127</v>
      </c>
      <c r="F5" s="18" t="n">
        <f aca="false">E5-Funnel!$B$17</f>
        <v>0.0193103470724636</v>
      </c>
      <c r="G5" s="20" t="n">
        <f aca="false">F5*Assumptions!$B$6</f>
        <v>193103.470724636</v>
      </c>
      <c r="H5" s="21" t="n">
        <f aca="false">G5*Assumptions!$B$8*(1-Assumptions!$B$9)</f>
        <v>189241401.310144</v>
      </c>
      <c r="I5" s="24" t="n">
        <f aca="false">IF(C5=0,0,F5/(C5*100))</f>
        <v>0.00275862101035195</v>
      </c>
    </row>
    <row r="6" customFormat="false" ht="15" hidden="false" customHeight="false" outlineLevel="0" collapsed="false">
      <c r="A6" s="14" t="s">
        <v>39</v>
      </c>
      <c r="B6" s="23" t="n">
        <f aca="false">Assumptions!$B$12</f>
        <v>0.6</v>
      </c>
      <c r="C6" s="10" t="n">
        <v>0.08</v>
      </c>
      <c r="D6" s="18" t="n">
        <f aca="false">MIN(1,B6+C6)</f>
        <v>0.68</v>
      </c>
      <c r="E6" s="18" t="n">
        <f aca="false">D6*(1-(1-Assumptions!$B$11*Assumptions!$B$13*Assumptions!$B$14*Assumptions!$B$15*Assumptions!$B$16*Assumptions!$B$17)^Assumptions!$B$7)</f>
        <v>0.204610651855418</v>
      </c>
      <c r="F6" s="18" t="n">
        <f aca="false">E6-Funnel!$B$17</f>
        <v>0.0240718413947551</v>
      </c>
      <c r="G6" s="20" t="n">
        <f aca="false">F6*Assumptions!$B$6</f>
        <v>240718.413947551</v>
      </c>
      <c r="H6" s="21" t="n">
        <f aca="false">G6*Assumptions!$B$8*(1-Assumptions!$B$9)</f>
        <v>235904045.6686</v>
      </c>
      <c r="I6" s="24" t="n">
        <f aca="false">IF(C6=0,0,F6/(C6*100))</f>
        <v>0.00300898017434439</v>
      </c>
    </row>
    <row r="7" customFormat="false" ht="15" hidden="false" customHeight="false" outlineLevel="0" collapsed="false">
      <c r="A7" s="14" t="s">
        <v>43</v>
      </c>
      <c r="B7" s="23" t="n">
        <f aca="false">Assumptions!$B$13</f>
        <v>0.8</v>
      </c>
      <c r="C7" s="10" t="n">
        <v>0.08</v>
      </c>
      <c r="D7" s="18" t="n">
        <f aca="false">MIN(1,B7+C7)</f>
        <v>0.88</v>
      </c>
      <c r="E7" s="18" t="n">
        <f aca="false">Assumptions!$B$12*(1-(1-Assumptions!$B$11*D7*Assumptions!$B$14*Assumptions!$B$15*Assumptions!$B$16*Assumptions!$B$17)^Assumptions!$B$7)</f>
        <v>0.195774877962159</v>
      </c>
      <c r="F7" s="18" t="n">
        <f aca="false">E7-Funnel!$B$17</f>
        <v>0.0152360675014957</v>
      </c>
      <c r="G7" s="20" t="n">
        <f aca="false">F7*Assumptions!$B$6</f>
        <v>152360.675014957</v>
      </c>
      <c r="H7" s="21" t="n">
        <f aca="false">G7*Assumptions!$B$8*(1-Assumptions!$B$9)</f>
        <v>149313461.514658</v>
      </c>
      <c r="I7" s="24" t="n">
        <f aca="false">IF(C7=0,0,F7/(C7*100))</f>
        <v>0.00190450843768696</v>
      </c>
    </row>
    <row r="8" customFormat="false" ht="15" hidden="false" customHeight="false" outlineLevel="0" collapsed="false">
      <c r="A8" s="14" t="s">
        <v>47</v>
      </c>
      <c r="B8" s="23" t="n">
        <f aca="false">Assumptions!$B$14</f>
        <v>0.45</v>
      </c>
      <c r="C8" s="10" t="n">
        <v>0.1</v>
      </c>
      <c r="D8" s="18" t="n">
        <f aca="false">MIN(1,B8+C8)</f>
        <v>0.55</v>
      </c>
      <c r="E8" s="18" t="n">
        <f aca="false">Assumptions!$B$12*(1-(1-Assumptions!$B$11*Assumptions!$B$13*D8*Assumptions!$B$15*Assumptions!$B$16*Assumptions!$B$17)^Assumptions!$B$7)</f>
        <v>0.213767761213301</v>
      </c>
      <c r="F8" s="18" t="n">
        <f aca="false">E8-Funnel!$B$17</f>
        <v>0.0332289507526381</v>
      </c>
      <c r="G8" s="20" t="n">
        <f aca="false">F8*Assumptions!$B$6</f>
        <v>332289.507526381</v>
      </c>
      <c r="H8" s="21" t="n">
        <f aca="false">G8*Assumptions!$B$8*(1-Assumptions!$B$9)</f>
        <v>325643717.375853</v>
      </c>
      <c r="I8" s="24" t="n">
        <f aca="false">IF(C8=0,0,F8/(C8*100))</f>
        <v>0.00332289507526381</v>
      </c>
    </row>
    <row r="9" customFormat="false" ht="15" hidden="false" customHeight="false" outlineLevel="0" collapsed="false">
      <c r="A9" s="14" t="s">
        <v>51</v>
      </c>
      <c r="B9" s="23" t="n">
        <f aca="false">Assumptions!$B$15</f>
        <v>0.75</v>
      </c>
      <c r="C9" s="10" t="n">
        <v>0.08</v>
      </c>
      <c r="D9" s="18" t="n">
        <f aca="false">MIN(1,B9+C9)</f>
        <v>0.83</v>
      </c>
      <c r="E9" s="18" t="n">
        <f aca="false">Assumptions!$B$12*(1-(1-Assumptions!$B$11*Assumptions!$B$13*Assumptions!$B$14*D9*Assumptions!$B$16*Assumptions!$B$17)^Assumptions!$B$7)</f>
        <v>0.19677399101781</v>
      </c>
      <c r="F9" s="18" t="n">
        <f aca="false">E9-Funnel!$B$17</f>
        <v>0.0162351805571468</v>
      </c>
      <c r="G9" s="20" t="n">
        <f aca="false">F9*Assumptions!$B$6</f>
        <v>162351.805571468</v>
      </c>
      <c r="H9" s="21" t="n">
        <f aca="false">G9*Assumptions!$B$8*(1-Assumptions!$B$9)</f>
        <v>159104769.460039</v>
      </c>
      <c r="I9" s="24" t="n">
        <f aca="false">IF(C9=0,0,F9/(C9*100))</f>
        <v>0.00202939756964335</v>
      </c>
    </row>
    <row r="10" customFormat="false" ht="15" hidden="false" customHeight="false" outlineLevel="0" collapsed="false">
      <c r="A10" s="14" t="s">
        <v>55</v>
      </c>
      <c r="B10" s="23" t="n">
        <f aca="false">Assumptions!$B$16</f>
        <v>0.6</v>
      </c>
      <c r="C10" s="10" t="n">
        <v>0.05</v>
      </c>
      <c r="D10" s="18" t="n">
        <f aca="false">MIN(1,B10+C10)</f>
        <v>0.65</v>
      </c>
      <c r="E10" s="18" t="n">
        <f aca="false">Assumptions!$B$12*(1-(1-Assumptions!$B$11*Assumptions!$B$13*Assumptions!$B$14*Assumptions!$B$15*D10*Assumptions!$B$17)^Assumptions!$B$7)</f>
        <v>0.19326806597105</v>
      </c>
      <c r="F10" s="18" t="n">
        <f aca="false">E10-Funnel!$B$17</f>
        <v>0.0127292555103866</v>
      </c>
      <c r="G10" s="20" t="n">
        <f aca="false">F10*Assumptions!$B$6</f>
        <v>127292.555103866</v>
      </c>
      <c r="H10" s="21" t="n">
        <f aca="false">G10*Assumptions!$B$8*(1-Assumptions!$B$9)</f>
        <v>124746704.001788</v>
      </c>
      <c r="I10" s="24" t="n">
        <f aca="false">IF(C10=0,0,F10/(C10*100))</f>
        <v>0.00254585110207731</v>
      </c>
    </row>
    <row r="11" customFormat="false" ht="15" hidden="false" customHeight="false" outlineLevel="0" collapsed="false">
      <c r="A11" s="14" t="s">
        <v>25</v>
      </c>
      <c r="B11" s="23" t="n">
        <f aca="false">Assumptions!$B$17</f>
        <v>0.65</v>
      </c>
      <c r="C11" s="10" t="n">
        <v>0.03</v>
      </c>
      <c r="D11" s="18" t="n">
        <f aca="false">MIN(1,B11+C11)</f>
        <v>0.68</v>
      </c>
      <c r="E11" s="18" t="n">
        <f aca="false">Assumptions!$B$12*(1-(1-Assumptions!$B$11*Assumptions!$B$13*Assumptions!$B$14*Assumptions!$B$15*Assumptions!$B$16*D11)^Assumptions!$B$7)</f>
        <v>0.187629231972918</v>
      </c>
      <c r="F11" s="18" t="n">
        <f aca="false">E11-Funnel!$B$17</f>
        <v>0.00709042151225425</v>
      </c>
      <c r="G11" s="20" t="n">
        <f aca="false">F11*Assumptions!$B$6</f>
        <v>70904.2151225425</v>
      </c>
      <c r="H11" s="21" t="n">
        <f aca="false">G11*Assumptions!$B$8*(1-Assumptions!$B$9)</f>
        <v>69486130.8200917</v>
      </c>
      <c r="I11" s="24" t="n">
        <f aca="false">IF(C11=0,0,F11/(C11*100))</f>
        <v>0.00236347383741808</v>
      </c>
    </row>
    <row r="13" customFormat="false" ht="15" hidden="false" customHeight="false" outlineLevel="0" collapsed="false">
      <c r="A13" s="2" t="s">
        <v>81</v>
      </c>
    </row>
    <row r="14" customFormat="false" ht="15" hidden="false" customHeight="false" outlineLevel="0" collapsed="false">
      <c r="A14" s="2" t="s">
        <v>82</v>
      </c>
    </row>
    <row r="16" customFormat="false" ht="15" hidden="false" customHeight="false" outlineLevel="0" collapsed="false">
      <c r="A16" s="15" t="s">
        <v>83</v>
      </c>
    </row>
    <row r="17" customFormat="false" ht="15" hidden="false" customHeight="false" outlineLevel="0" collapsed="false">
      <c r="A17" s="14" t="s">
        <v>84</v>
      </c>
      <c r="B17" s="18" t="n">
        <f aca="false">D8</f>
        <v>0.55</v>
      </c>
    </row>
    <row r="18" customFormat="false" ht="15" hidden="false" customHeight="false" outlineLevel="0" collapsed="false">
      <c r="A18" s="14" t="s">
        <v>85</v>
      </c>
      <c r="B18" s="18" t="n">
        <f aca="false">D9</f>
        <v>0.83</v>
      </c>
    </row>
    <row r="19" customFormat="false" ht="15" hidden="false" customHeight="false" outlineLevel="0" collapsed="false">
      <c r="A19" s="14" t="s">
        <v>76</v>
      </c>
      <c r="B19" s="25" t="n">
        <f aca="false">Assumptions!$B$12*(1-(1-Assumptions!$B$11*Assumptions!$B$13*B17*B18*Assumptions!$B$16*Assumptions!$B$17)^Assumptions!$B$7)</f>
        <v>0.232219505027514</v>
      </c>
    </row>
    <row r="20" customFormat="false" ht="15" hidden="false" customHeight="false" outlineLevel="0" collapsed="false">
      <c r="A20" s="14" t="s">
        <v>77</v>
      </c>
      <c r="B20" s="18" t="n">
        <f aca="false">B19-Funnel!$B$17</f>
        <v>0.0516806945668506</v>
      </c>
    </row>
    <row r="21" customFormat="false" ht="15" hidden="false" customHeight="false" outlineLevel="0" collapsed="false">
      <c r="A21" s="14" t="s">
        <v>78</v>
      </c>
      <c r="B21" s="20" t="n">
        <f aca="false">B20*Assumptions!$B$6</f>
        <v>516806.945668506</v>
      </c>
    </row>
    <row r="22" customFormat="false" ht="15" hidden="false" customHeight="false" outlineLevel="0" collapsed="false">
      <c r="A22" s="14" t="s">
        <v>79</v>
      </c>
      <c r="B22" s="21" t="n">
        <f aca="false">B21*Assumptions!$B$8*(1-Assumptions!$B$9)</f>
        <v>506470806.755136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2026-09-04T04:32:09Z</dcterms:created>
  <dc:creator>openpyxl</dc:creator>
  <dc:description/>
  <dc:language>en-US</dc:language>
  <cp:lastModifiedBy/>
  <dcterms:modified xsi:type="dcterms:W3CDTF">2026-09-04T04:32:09Z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